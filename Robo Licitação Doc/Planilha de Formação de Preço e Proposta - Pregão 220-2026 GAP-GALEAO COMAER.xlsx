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roposta" sheetId="1" r:id="rId5"/>
  </sheets>
  <definedNames/>
  <calcPr/>
</workbook>
</file>

<file path=xl/sharedStrings.xml><?xml version="1.0" encoding="utf-8"?>
<sst xmlns="http://schemas.openxmlformats.org/spreadsheetml/2006/main" count="30" uniqueCount="28">
  <si>
    <t>COMANDO DA AERONÁUTICA - GRUPAMENTO DE APOIO DO GALEÃO (GAP-GL) - PREGÃO ELETRÔNICO Nº 220/2026 (UASG: 120645) - SERIPA III</t>
  </si>
  <si>
    <t>Item</t>
  </si>
  <si>
    <t>Descrição Completa do Edital / ETP</t>
  </si>
  <si>
    <t>CATMAT</t>
  </si>
  <si>
    <t>Qtd</t>
  </si>
  <si>
    <t>Und</t>
  </si>
  <si>
    <t>Marca Sugerida</t>
  </si>
  <si>
    <t>Modelo / Part Number / Especificação</t>
  </si>
  <si>
    <t>Preço Unit. Máximo Edital (R$)</t>
  </si>
  <si>
    <t>Preço Total Máximo Edital (R$)</t>
  </si>
  <si>
    <t>Custo Unit. Estimado (R$)</t>
  </si>
  <si>
    <t>Custo Total Estimado (R$)</t>
  </si>
  <si>
    <t>Preço Unit. Proposto (R$)</t>
  </si>
  <si>
    <t>Preço Total Proposto (R$)</t>
  </si>
  <si>
    <t>Lucro Bruto Estimado (R$)</t>
  </si>
  <si>
    <t>Margem (%)</t>
  </si>
  <si>
    <t>Observações / Distribuidor</t>
  </si>
  <si>
    <t>NOBREAK SERVIDOR 2U RACK/TORRE, 9PX, 2000RTN, 127V, PORTAS USB E SERIAL, SLOT PARA PLACA DE REDE, 2000VA, DISPLAY LCD, RACK 19'', GERENCIAMENTO LOCAL/REMOTO, GARANTIA 1 ANO ONSITE</t>
  </si>
  <si>
    <t>UN</t>
  </si>
  <si>
    <t>EATON</t>
  </si>
  <si>
    <t>9PX 2000 RTN 120V (9PX2000RTN) 2000VA / 1800W 2U Rack/Torre</t>
  </si>
  <si>
    <t>SWITCH GERENCIÁVEL POE 48 PORTAS GIGABIT + UPLINKS SFP+ 1/10 GbE, CAPACIDADE POE+, BIVOLT, GARANTIA ONSITE DURANTE VIDA ÚTIL</t>
  </si>
  <si>
    <t>Cisco / Intelbras / Dell</t>
  </si>
  <si>
    <t>Intelbras SG 5200 PoE / Cisco CBS350-48P-4X / Dell N1548P 48P PoE+</t>
  </si>
  <si>
    <t>POWER BALUN 16 CANAIS, FULL HD, ALIMENTAÇÃO VN, 1016WP, CONEXÕES ENTRADA RJ45 E SAÍDA BNC, FUNÇÃO 4X1 (ATÉ 4 CÂMERAS POR CABO), BIVOLT, GARANTIA 1 ANO ONSITE</t>
  </si>
  <si>
    <t>Intelbras</t>
  </si>
  <si>
    <t>Power Balun 16 Canais Full HD VBP 1016 WP (VBP 1016 WP)</t>
  </si>
  <si>
    <t>TOTAIS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</si>
</sst>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&quot;R$&quot;#,##0.00"/>
  </numFmts>
  <fonts count="4">
    <font>
      <sz val="10.0"/>
      <color rgb="FF000000"/>
      <name val="Arial"/>
      <scheme val="minor"/>
    </font>
    <font>
      <b/>
      <sz val="11.0"/>
      <color rgb="FFFFFFFF"/>
      <name val="Montserrat"/>
    </font>
    <font>
      <sz val="10.0"/>
      <color rgb="FF1A1B20"/>
      <name val="Roboto"/>
    </font>
    <font>
      <b/>
      <sz val="10.0"/>
      <color rgb="FF1A1B20"/>
      <name val="Montserrat"/>
    </font>
  </fonts>
  <fills count="6">
    <fill>
      <patternFill patternType="none"/>
    </fill>
    <fill>
      <patternFill patternType="lightGray"/>
    </fill>
    <fill>
      <patternFill patternType="solid">
        <fgColor rgb="FF425D90"/>
        <bgColor rgb="FF425D90"/>
      </patternFill>
    </fill>
    <fill>
      <patternFill patternType="solid">
        <fgColor rgb="FFF9F9FF"/>
        <bgColor rgb="FFF9F9FF"/>
      </patternFill>
    </fill>
    <fill>
      <patternFill patternType="solid">
        <fgColor rgb="FFFFFFFF"/>
        <bgColor rgb="FFFFFFFF"/>
      </patternFill>
    </fill>
    <fill>
      <patternFill patternType="solid">
        <fgColor rgb="FFECECF4"/>
        <bgColor rgb="FFECECF4"/>
      </patternFill>
    </fill>
  </fills>
  <borders count="2">
    <border/>
    <border>
      <left style="thin">
        <color rgb="FF73777E"/>
      </left>
      <right style="thin">
        <color rgb="FF73777E"/>
      </right>
      <top style="thin">
        <color rgb="FF73777E"/>
      </top>
      <bottom style="thin">
        <color rgb="FF73777E"/>
      </bottom>
    </border>
  </borders>
  <cellStyleXfs count="1">
    <xf borderId="0" fillId="0" fontId="0" numFmtId="0" applyAlignment="1" applyFont="1"/>
  </cellStyleXfs>
  <cellXfs count="19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 shrinkToFit="0" vertical="center" wrapText="1"/>
    </xf>
    <xf borderId="1" fillId="2" fontId="1" numFmtId="0" xfId="0" applyAlignment="1" applyBorder="1" applyFill="1" applyFont="1">
      <alignment horizontal="center" readingOrder="0" shrinkToFit="0" vertical="center" wrapText="1"/>
    </xf>
    <xf borderId="1" fillId="3" fontId="2" numFmtId="0" xfId="0" applyAlignment="1" applyBorder="1" applyFill="1" applyFont="1">
      <alignment readingOrder="0" shrinkToFit="0" vertical="center" wrapText="1"/>
    </xf>
    <xf borderId="1" fillId="3" fontId="2" numFmtId="0" xfId="0" applyAlignment="1" applyBorder="1" applyFill="1" applyFont="1">
      <alignment readingOrder="0" shrinkToFit="0" vertical="center" wrapText="1"/>
    </xf>
    <xf borderId="1" fillId="3" fontId="2" numFmtId="164" xfId="0" applyAlignment="1" applyBorder="1" applyFill="1" applyFont="1" applyNumberFormat="1">
      <alignment readingOrder="0" shrinkToFit="0" vertical="center" wrapText="1"/>
    </xf>
    <xf borderId="1" fillId="3" fontId="2" numFmtId="164" xfId="0" applyAlignment="1" applyBorder="1" applyFill="1" applyFont="1" applyNumberFormat="1">
      <alignment shrinkToFit="0" vertical="center" wrapText="1"/>
    </xf>
    <xf borderId="1" fillId="3" fontId="2" numFmtId="10" xfId="0" applyAlignment="1" applyBorder="1" applyFill="1" applyFont="1" applyNumberFormat="1">
      <alignment shrinkToFit="0" vertical="center" wrapText="1"/>
    </xf>
    <xf borderId="1" fillId="3" fontId="2" numFmtId="0" xfId="0" applyAlignment="1" applyBorder="1" applyFill="1" applyFont="1">
      <alignment shrinkToFit="0" vertical="center" wrapText="1"/>
    </xf>
    <xf borderId="1" fillId="4" fontId="2" numFmtId="0" xfId="0" applyAlignment="1" applyBorder="1" applyFill="1" applyFont="1">
      <alignment readingOrder="0" shrinkToFit="0" vertical="center" wrapText="1"/>
    </xf>
    <xf borderId="1" fillId="4" fontId="2" numFmtId="0" xfId="0" applyAlignment="1" applyBorder="1" applyFill="1" applyFont="1">
      <alignment readingOrder="0" shrinkToFit="0" vertical="center" wrapText="1"/>
    </xf>
    <xf borderId="1" fillId="4" fontId="2" numFmtId="164" xfId="0" applyAlignment="1" applyBorder="1" applyFill="1" applyFont="1" applyNumberFormat="1">
      <alignment readingOrder="0" shrinkToFit="0" vertical="center" wrapText="1"/>
    </xf>
    <xf borderId="1" fillId="4" fontId="2" numFmtId="164" xfId="0" applyAlignment="1" applyBorder="1" applyFill="1" applyFont="1" applyNumberFormat="1">
      <alignment shrinkToFit="0" vertical="center" wrapText="1"/>
    </xf>
    <xf borderId="1" fillId="4" fontId="2" numFmtId="10" xfId="0" applyAlignment="1" applyBorder="1" applyFill="1" applyFont="1" applyNumberFormat="1">
      <alignment shrinkToFit="0" vertical="center" wrapText="1"/>
    </xf>
    <xf borderId="1" fillId="4" fontId="2" numFmtId="0" xfId="0" applyAlignment="1" applyBorder="1" applyFill="1" applyFont="1">
      <alignment shrinkToFit="0" vertical="center" wrapText="1"/>
    </xf>
    <xf borderId="1" fillId="5" fontId="3" numFmtId="0" xfId="0" applyAlignment="1" applyBorder="1" applyFill="1" applyFont="1">
      <alignment horizontal="center" readingOrder="0" vertical="center"/>
    </xf>
    <xf borderId="1" fillId="5" fontId="3" numFmtId="0" xfId="0" applyAlignment="1" applyBorder="1" applyFill="1" applyFont="1">
      <alignment horizontal="center" vertical="center"/>
    </xf>
    <xf borderId="1" fillId="5" fontId="3" numFmtId="164" xfId="0" applyAlignment="1" applyBorder="1" applyFill="1" applyFont="1" applyNumberFormat="1">
      <alignment horizontal="center" vertical="center"/>
    </xf>
    <xf borderId="1" fillId="5" fontId="3" numFmtId="10" xfId="0" applyAlignment="1" applyBorder="1" applyFill="1" applyFont="1" applyNumberFormat="1">
      <alignment horizontal="center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75"/>
  <cols>
    <col customWidth="1" min="1" max="1" width="9.63"/>
    <col customWidth="1" min="2" max="2" width="35.0"/>
    <col customWidth="1" min="3" max="3" width="8.13"/>
    <col customWidth="1" min="4" max="4" width="3.75"/>
    <col customWidth="1" min="5" max="5" width="4.13"/>
    <col customWidth="1" min="6" max="6" width="11.38"/>
    <col customWidth="1" min="7" max="7" width="24.63"/>
    <col customWidth="1" min="8" max="9" width="12.75"/>
    <col customWidth="1" min="10" max="11" width="12.38"/>
    <col customWidth="1" min="12" max="13" width="12.13"/>
    <col customWidth="1" min="14" max="14" width="12.38"/>
    <col customWidth="1" min="15" max="15" width="10.63"/>
    <col customWidth="1" min="16" max="16" width="13.0"/>
  </cols>
  <sheetData>
    <row r="1">
      <c r="A1" s="1" t="s">
        <v>0</v>
      </c>
    </row>
    <row r="3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9</v>
      </c>
      <c r="J3" s="2" t="s">
        <v>10</v>
      </c>
      <c r="K3" s="2" t="s">
        <v>11</v>
      </c>
      <c r="L3" s="2" t="s">
        <v>12</v>
      </c>
      <c r="M3" s="2" t="s">
        <v>13</v>
      </c>
      <c r="N3" s="2" t="s">
        <v>14</v>
      </c>
      <c r="O3" s="2" t="s">
        <v>15</v>
      </c>
      <c r="P3" s="2" t="s">
        <v>16</v>
      </c>
    </row>
    <row r="4">
      <c r="A4" s="3">
        <v>1.0</v>
      </c>
      <c r="B4" s="4" t="s">
        <v>17</v>
      </c>
      <c r="C4" s="3">
        <v>376871.0</v>
      </c>
      <c r="D4" s="3">
        <v>1.0</v>
      </c>
      <c r="E4" s="4" t="s">
        <v>18</v>
      </c>
      <c r="F4" s="4" t="s">
        <v>19</v>
      </c>
      <c r="G4" s="4" t="s">
        <v>20</v>
      </c>
      <c r="H4" s="5">
        <v>10850.0</v>
      </c>
      <c r="I4" s="6">
        <f t="shared" ref="I4:I6" si="1">D4*H4</f>
        <v>10850</v>
      </c>
      <c r="J4" s="5">
        <v>7900.0</v>
      </c>
      <c r="K4" s="6">
        <f t="shared" ref="K4:K6" si="2">D4*J4</f>
        <v>7900</v>
      </c>
      <c r="L4" s="5">
        <v>9800.0</v>
      </c>
      <c r="M4" s="6">
        <f t="shared" ref="M4:M6" si="3">D4*L4</f>
        <v>9800</v>
      </c>
      <c r="N4" s="6">
        <f t="shared" ref="N4:N6" si="4">M4-K4</f>
        <v>1900</v>
      </c>
      <c r="O4" s="7">
        <f t="shared" ref="O4:O7" si="5">N4/M4</f>
        <v>0.193877551</v>
      </c>
      <c r="P4" s="8"/>
    </row>
    <row r="5">
      <c r="A5" s="9">
        <v>2.0</v>
      </c>
      <c r="B5" s="10" t="s">
        <v>21</v>
      </c>
      <c r="C5" s="9">
        <v>448242.0</v>
      </c>
      <c r="D5" s="9">
        <v>1.0</v>
      </c>
      <c r="E5" s="10" t="s">
        <v>18</v>
      </c>
      <c r="F5" s="10" t="s">
        <v>22</v>
      </c>
      <c r="G5" s="10" t="s">
        <v>23</v>
      </c>
      <c r="H5" s="11">
        <v>9200.0</v>
      </c>
      <c r="I5" s="12">
        <f t="shared" si="1"/>
        <v>9200</v>
      </c>
      <c r="J5" s="11">
        <v>6500.0</v>
      </c>
      <c r="K5" s="12">
        <f t="shared" si="2"/>
        <v>6500</v>
      </c>
      <c r="L5" s="11">
        <v>8400.0</v>
      </c>
      <c r="M5" s="12">
        <f t="shared" si="3"/>
        <v>8400</v>
      </c>
      <c r="N5" s="12">
        <f t="shared" si="4"/>
        <v>1900</v>
      </c>
      <c r="O5" s="13">
        <f t="shared" si="5"/>
        <v>0.2261904762</v>
      </c>
      <c r="P5" s="14"/>
    </row>
    <row r="6">
      <c r="A6" s="3">
        <v>3.0</v>
      </c>
      <c r="B6" s="4" t="s">
        <v>24</v>
      </c>
      <c r="C6" s="3">
        <v>486346.0</v>
      </c>
      <c r="D6" s="3">
        <v>1.0</v>
      </c>
      <c r="E6" s="4" t="s">
        <v>18</v>
      </c>
      <c r="F6" s="4" t="s">
        <v>25</v>
      </c>
      <c r="G6" s="4" t="s">
        <v>26</v>
      </c>
      <c r="H6" s="5">
        <v>1517.81</v>
      </c>
      <c r="I6" s="6">
        <f t="shared" si="1"/>
        <v>1517.81</v>
      </c>
      <c r="J6" s="5">
        <v>980.0</v>
      </c>
      <c r="K6" s="6">
        <f t="shared" si="2"/>
        <v>980</v>
      </c>
      <c r="L6" s="5">
        <v>1350.0</v>
      </c>
      <c r="M6" s="6">
        <f t="shared" si="3"/>
        <v>1350</v>
      </c>
      <c r="N6" s="6">
        <f t="shared" si="4"/>
        <v>370</v>
      </c>
      <c r="O6" s="7">
        <f t="shared" si="5"/>
        <v>0.2740740741</v>
      </c>
      <c r="P6" s="8"/>
    </row>
    <row r="7">
      <c r="A7" s="15" t="s">
        <v>27</v>
      </c>
      <c r="B7" s="16"/>
      <c r="C7" s="16"/>
      <c r="D7" s="16"/>
      <c r="E7" s="16"/>
      <c r="F7" s="16"/>
      <c r="G7" s="16"/>
      <c r="H7" s="17"/>
      <c r="I7" s="17">
        <f>SUM(I4:I6)</f>
        <v>21567.81</v>
      </c>
      <c r="J7" s="17"/>
      <c r="K7" s="17">
        <f>SUM(K4:K6)</f>
        <v>15380</v>
      </c>
      <c r="L7" s="17"/>
      <c r="M7" s="17">
        <f t="shared" ref="M7:N7" si="6">SUM(M4:M6)</f>
        <v>19550</v>
      </c>
      <c r="N7" s="17">
        <f t="shared" si="6"/>
        <v>4170</v>
      </c>
      <c r="O7" s="18">
        <f t="shared" si="5"/>
        <v>0.2132992327</v>
      </c>
      <c r="P7" s="16"/>
    </row>
  </sheetData>
  <mergeCells count="1">
    <mergeCell ref="A1:P1"/>
  </mergeCells>
  <drawing r:id="rId1"/>
</worksheet>
</file>